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8bb8daa305f4dc4/Documentos/Curso Excell/"/>
    </mc:Choice>
  </mc:AlternateContent>
  <xr:revisionPtr revIDLastSave="1" documentId="8_{2FDC008B-9D46-4F69-AE4D-19075A035A89}" xr6:coauthVersionLast="47" xr6:coauthVersionMax="47" xr10:uidLastSave="{A301E37D-88F9-4081-B6FC-5D6FE07E475E}"/>
  <bookViews>
    <workbookView xWindow="-108" yWindow="-108" windowWidth="23256" windowHeight="13176" xr2:uid="{00000000-000D-0000-FFFF-FFFF00000000}"/>
  </bookViews>
  <sheets>
    <sheet name="Investimentos" sheetId="1" r:id="rId1"/>
    <sheet name="Tabela de apoio" sheetId="2" r:id="rId2"/>
  </sheets>
  <definedNames>
    <definedName name="aporte">Investimentos!$D$12</definedName>
    <definedName name="patrimonio">Investimentos!$D$15</definedName>
    <definedName name="qtd_anos">Investimentos!$D$13</definedName>
    <definedName name="rendimento_carteira">Investimentos!$D$8</definedName>
    <definedName name="salario">Investimentos!$D$7</definedName>
    <definedName name="sugestao_investimento">Investimentos!$D$9</definedName>
    <definedName name="taxa_mensal">Investimentos!$D$14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C38" i="1"/>
  <c r="D38" i="1" s="1"/>
  <c r="C37" i="1"/>
  <c r="D37" i="1" s="1"/>
  <c r="C36" i="1"/>
  <c r="D36" i="1" s="1"/>
  <c r="C35" i="1"/>
  <c r="D35" i="1" s="1"/>
  <c r="C34" i="1"/>
  <c r="D34" i="1" s="1"/>
  <c r="C33" i="1"/>
  <c r="C39" i="1" s="1"/>
  <c r="D30" i="1"/>
  <c r="D25" i="1"/>
  <c r="C25" i="1"/>
  <c r="D24" i="1"/>
  <c r="C24" i="1"/>
  <c r="D23" i="1"/>
  <c r="C23" i="1"/>
  <c r="D22" i="1"/>
  <c r="C22" i="1"/>
  <c r="D21" i="1"/>
  <c r="C21" i="1"/>
  <c r="D15" i="1"/>
  <c r="D16" i="1" s="1"/>
  <c r="D9" i="1"/>
  <c r="D33" i="1" l="1"/>
  <c r="D39" i="1" s="1"/>
</calcChain>
</file>

<file path=xl/sharedStrings.xml><?xml version="1.0" encoding="utf-8"?>
<sst xmlns="http://schemas.openxmlformats.org/spreadsheetml/2006/main" count="70" uniqueCount="33">
  <si>
    <t>Simulador de investimentos em FIIs</t>
  </si>
  <si>
    <t>CONFIGURAÇÕES</t>
  </si>
  <si>
    <t>Salário</t>
  </si>
  <si>
    <t>Rendimento da carteira</t>
  </si>
  <si>
    <t>Sugestão de investimento</t>
  </si>
  <si>
    <t>INVESTIMENTO MENSAL</t>
  </si>
  <si>
    <t>Quanto investir por mês?</t>
  </si>
  <si>
    <t>Por quantos anos?</t>
  </si>
  <si>
    <t>Taxa de rendimento mensal</t>
  </si>
  <si>
    <t>Patrimônio acumulado</t>
  </si>
  <si>
    <t>Dividendos mensais</t>
  </si>
  <si>
    <t>CENÁRIOS</t>
  </si>
  <si>
    <t>Prazo em anos</t>
  </si>
  <si>
    <t>Patrimônio</t>
  </si>
  <si>
    <t>PERFIL DO INVESTIDOR</t>
  </si>
  <si>
    <t>Perfil</t>
  </si>
  <si>
    <t>Valor investido por mês</t>
  </si>
  <si>
    <t>Tipo de FII</t>
  </si>
  <si>
    <t>Percentual sugerido</t>
  </si>
  <si>
    <t>Valor</t>
  </si>
  <si>
    <t>PAPEL</t>
  </si>
  <si>
    <t>TIJOLO</t>
  </si>
  <si>
    <t>HÍBRIDOS</t>
  </si>
  <si>
    <t>FOFs</t>
  </si>
  <si>
    <t>DESENVOLVIMENTO</t>
  </si>
  <si>
    <t>HOTELARIAS</t>
  </si>
  <si>
    <t>Total</t>
  </si>
  <si>
    <t>Tabela de apoio</t>
  </si>
  <si>
    <t>Chave</t>
  </si>
  <si>
    <t>Percentual</t>
  </si>
  <si>
    <t>Conservador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</si>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</sst>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00%"/>
  </numFmts>
  <fonts count="7">
    <font>
      <sz val="11"/>
      <name val="Carlito"/>
    </font>
    <font>
      <sz val="11"/>
      <color rgb="FF222222"/>
      <name val="Calibri"/>
      <family val="2"/>
    </font>
    <font>
      <b/>
      <sz val="17"/>
      <color rgb="FF604378"/>
      <name val="Calibri"/>
      <family val="2"/>
    </font>
    <font>
      <b/>
      <sz val="11"/>
      <color rgb="FF222222"/>
      <name val="Calibri"/>
      <family val="2"/>
    </font>
    <font>
      <b/>
      <sz val="13"/>
      <color rgb="FFFFFFFF"/>
      <name val="Calibri"/>
      <family val="2"/>
    </font>
    <font>
      <b/>
      <sz val="16"/>
      <color rgb="FFFFFFFF"/>
      <name val="Calibri"/>
      <family val="2"/>
    </font>
    <font>
      <u/>
      <sz val="11"/>
      <color rgb="FF2222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064A2"/>
      </patternFill>
    </fill>
    <fill>
      <patternFill patternType="solid">
        <fgColor rgb="FFE4DFEC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BFBFBF"/>
      </bottom>
      <diagonal/>
    </border>
    <border>
      <left/>
      <right/>
      <top style="thin">
        <color indexed="64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64" fontId="1" fillId="3" borderId="0" xfId="0" applyNumberFormat="1" applyFont="1" applyFill="1" applyAlignment="1">
      <alignment vertical="center"/>
    </xf>
    <xf numFmtId="10" fontId="1" fillId="3" borderId="0" xfId="0" applyNumberFormat="1" applyFont="1" applyFill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1" fillId="3" borderId="0" xfId="0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6" xfId="0" applyNumberFormat="1" applyFont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pt-BR"/>
              <a:t>Distribuição do aporte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Percentual sugerido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4DFF-4A99-8237-1C286E3806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4DFF-4A99-8237-1C286E3806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4DFF-4A99-8237-1C286E3806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4DFF-4A99-8237-1C286E3806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4DFF-4A99-8237-1C286E3806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4DFF-4A99-8237-1C286E3806C0}"/>
              </c:ext>
            </c:extLst>
          </c:dPt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lt"/>
                    <a:cs typeface="+mn-lt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mpd="sng">
                  <a:solidFill>
                    <a:schemeClr val="tx1">
                      <a:lumMod val="35000"/>
                      <a:lumOff val="6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Investimentos!$B$33:$B$38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Investimentos!$C$33:$C$38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FF-4A99-8237-1C286E380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legend>
      <c:legendPos val="t"/>
      <c:overlay val="0"/>
      <c:spPr>
        <a:noFill/>
        <a:ln>
          <a:noFill/>
        </a:ln>
      </c:spPr>
      <c:txPr>
        <a:bodyPr rot="0" vert="horz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690438</xdr:colOff>
      <xdr:row>27</xdr:row>
      <xdr:rowOff>22860</xdr:rowOff>
    </xdr:from>
    <xdr:to>
      <xdr:col>10</xdr:col>
      <xdr:colOff>431358</xdr:colOff>
      <xdr:row>39</xdr:row>
      <xdr:rowOff>15240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53341</xdr:colOff>
      <xdr:row>0</xdr:row>
      <xdr:rowOff>33131</xdr:rowOff>
    </xdr:from>
    <xdr:to>
      <xdr:col>3</xdr:col>
      <xdr:colOff>1585289</xdr:colOff>
      <xdr:row>3</xdr:row>
      <xdr:rowOff>6625</xdr:rowOff>
    </xdr:to>
    <xdr:pic>
      <xdr:nvPicPr>
        <xdr:cNvPr id="3" name="/xl/media/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141" y="33131"/>
          <a:ext cx="5341948" cy="1771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64A2"/>
  </sheetPr>
  <dimension ref="A1:F42"/>
  <sheetViews>
    <sheetView showGridLines="0" tabSelected="1" topLeftCell="A31" workbookViewId="0">
      <selection activeCell="E40" sqref="E40"/>
    </sheetView>
  </sheetViews>
  <sheetFormatPr defaultRowHeight="13.8"/>
  <cols>
    <col min="1" max="1" width="4" customWidth="1"/>
    <col min="2" max="2" width="31" customWidth="1"/>
    <col min="3" max="3" width="19" customWidth="1"/>
    <col min="4" max="5" width="21" customWidth="1"/>
    <col min="6" max="6" width="4" customWidth="1"/>
  </cols>
  <sheetData>
    <row r="1" spans="1:6" ht="105" customHeight="1"/>
    <row r="3" spans="1:6" ht="22.95" customHeight="1">
      <c r="A3" s="1"/>
      <c r="B3" s="1"/>
      <c r="C3" s="1"/>
      <c r="D3" s="1"/>
      <c r="E3" s="1"/>
      <c r="F3" s="1"/>
    </row>
    <row r="4" spans="1:6" ht="31.95" customHeight="1">
      <c r="A4" s="1"/>
      <c r="B4" s="2" t="s">
        <v>0</v>
      </c>
      <c r="C4" s="2"/>
      <c r="D4" s="2"/>
      <c r="E4" s="2"/>
      <c r="F4" s="1"/>
    </row>
    <row r="5" spans="1:6" ht="22.95" customHeight="1">
      <c r="A5" s="1"/>
      <c r="B5" s="1"/>
      <c r="C5" s="1"/>
      <c r="D5" s="1"/>
      <c r="E5" s="1"/>
      <c r="F5" s="1"/>
    </row>
    <row r="6" spans="1:6" ht="27" customHeight="1">
      <c r="A6" s="1"/>
      <c r="B6" s="24" t="s">
        <v>1</v>
      </c>
      <c r="C6" s="25"/>
      <c r="D6" s="25"/>
      <c r="F6" s="1"/>
    </row>
    <row r="7" spans="1:6" ht="22.95" customHeight="1">
      <c r="A7" s="1"/>
      <c r="B7" s="20" t="s">
        <v>2</v>
      </c>
      <c r="C7" s="1"/>
      <c r="D7" s="9">
        <v>2000</v>
      </c>
      <c r="F7" s="1"/>
    </row>
    <row r="8" spans="1:6" ht="22.95" customHeight="1">
      <c r="A8" s="1"/>
      <c r="B8" s="20" t="s">
        <v>3</v>
      </c>
      <c r="C8" s="1"/>
      <c r="D8" s="10">
        <v>6.0000000000000001E-3</v>
      </c>
      <c r="F8" s="1"/>
    </row>
    <row r="9" spans="1:6" ht="22.95" customHeight="1">
      <c r="A9" s="1"/>
      <c r="B9" s="21" t="s">
        <v>4</v>
      </c>
      <c r="C9" s="22"/>
      <c r="D9" s="11">
        <f>salario*30%</f>
        <v>600</v>
      </c>
      <c r="F9" s="1"/>
    </row>
    <row r="10" spans="1:6" ht="22.95" customHeight="1">
      <c r="A10" s="1"/>
      <c r="B10" s="1"/>
      <c r="C10" s="1"/>
      <c r="D10" s="1"/>
      <c r="F10" s="1"/>
    </row>
    <row r="11" spans="1:6" ht="27" customHeight="1">
      <c r="A11" s="1"/>
      <c r="B11" s="24" t="s">
        <v>5</v>
      </c>
      <c r="C11" s="25"/>
      <c r="D11" s="25"/>
      <c r="F11" s="1"/>
    </row>
    <row r="12" spans="1:6" ht="22.95" customHeight="1">
      <c r="A12" s="1"/>
      <c r="B12" s="20" t="s">
        <v>6</v>
      </c>
      <c r="C12" s="1"/>
      <c r="D12" s="9">
        <v>200</v>
      </c>
      <c r="F12" s="1"/>
    </row>
    <row r="13" spans="1:6" ht="22.95" customHeight="1">
      <c r="A13" s="1"/>
      <c r="B13" s="20" t="s">
        <v>7</v>
      </c>
      <c r="C13" s="1"/>
      <c r="D13" s="12">
        <v>5</v>
      </c>
      <c r="F13" s="1"/>
    </row>
    <row r="14" spans="1:6" ht="22.95" customHeight="1">
      <c r="A14" s="1"/>
      <c r="B14" s="20" t="s">
        <v>8</v>
      </c>
      <c r="C14" s="1"/>
      <c r="D14" s="13">
        <v>1.0789999999999999E-2</v>
      </c>
      <c r="F14" s="1"/>
    </row>
    <row r="15" spans="1:6" ht="22.95" customHeight="1">
      <c r="A15" s="1"/>
      <c r="B15" s="20" t="s">
        <v>9</v>
      </c>
      <c r="C15" s="1"/>
      <c r="D15" s="14">
        <f>FV(taxa_mensal,qtd_anos*12,-aporte)</f>
        <v>16755.382799697527</v>
      </c>
      <c r="F15" s="1"/>
    </row>
    <row r="16" spans="1:6" ht="22.95" customHeight="1">
      <c r="A16" s="1"/>
      <c r="B16" s="21" t="s">
        <v>10</v>
      </c>
      <c r="C16" s="22"/>
      <c r="D16" s="15">
        <f>patrimonio*rendimento_carteira</f>
        <v>100.53229679818516</v>
      </c>
      <c r="F16" s="1"/>
    </row>
    <row r="17" spans="1:6" ht="22.95" customHeight="1">
      <c r="A17" s="1"/>
      <c r="B17" s="1"/>
      <c r="C17" s="1"/>
      <c r="D17" s="1"/>
      <c r="F17" s="1"/>
    </row>
    <row r="18" spans="1:6" ht="22.95" customHeight="1">
      <c r="A18" s="1"/>
      <c r="B18" s="1"/>
      <c r="C18" s="1"/>
      <c r="D18" s="1"/>
      <c r="F18" s="1"/>
    </row>
    <row r="19" spans="1:6" ht="27" customHeight="1">
      <c r="A19" s="1"/>
      <c r="B19" s="26" t="s">
        <v>11</v>
      </c>
      <c r="C19" s="27"/>
      <c r="D19" s="27"/>
      <c r="F19" s="1"/>
    </row>
    <row r="20" spans="1:6" ht="22.95" customHeight="1">
      <c r="A20" s="1"/>
      <c r="B20" s="16" t="s">
        <v>12</v>
      </c>
      <c r="C20" s="3" t="s">
        <v>13</v>
      </c>
      <c r="D20" s="3" t="s">
        <v>10</v>
      </c>
      <c r="F20" s="1"/>
    </row>
    <row r="21" spans="1:6" ht="22.95" customHeight="1">
      <c r="A21" s="1"/>
      <c r="B21" s="17">
        <v>2</v>
      </c>
      <c r="C21" s="5">
        <f>FV($D$14,B21*12,-$D$12)</f>
        <v>5445.5254595290435</v>
      </c>
      <c r="D21" s="5">
        <f>C21*$D$8</f>
        <v>32.673152757174265</v>
      </c>
      <c r="F21" s="1"/>
    </row>
    <row r="22" spans="1:6" ht="22.95" customHeight="1">
      <c r="A22" s="1"/>
      <c r="B22" s="17">
        <v>5</v>
      </c>
      <c r="C22" s="5">
        <f>FV($D$14,B22*12,-$D$12)</f>
        <v>16755.382799697527</v>
      </c>
      <c r="D22" s="5">
        <f>C22*$D$8</f>
        <v>100.53229679818516</v>
      </c>
      <c r="F22" s="1"/>
    </row>
    <row r="23" spans="1:6" ht="22.95" customHeight="1">
      <c r="A23" s="1"/>
      <c r="B23" s="17">
        <v>10</v>
      </c>
      <c r="C23" s="5">
        <f>FV($D$14,B23*12,-$D$12)</f>
        <v>48656.842506034438</v>
      </c>
      <c r="D23" s="5">
        <f>C23*$D$8</f>
        <v>291.94105503620665</v>
      </c>
      <c r="F23" s="1"/>
    </row>
    <row r="24" spans="1:6" ht="22.95" customHeight="1">
      <c r="A24" s="1"/>
      <c r="B24" s="17">
        <v>20</v>
      </c>
      <c r="C24" s="5">
        <f>FV($D$14,B24*12,-$D$12)</f>
        <v>225039.68001941612</v>
      </c>
      <c r="D24" s="5">
        <f>C24*$D$8</f>
        <v>1350.2380801164968</v>
      </c>
      <c r="F24" s="1"/>
    </row>
    <row r="25" spans="1:6" ht="22.95" customHeight="1">
      <c r="A25" s="1"/>
      <c r="B25" s="18">
        <v>30</v>
      </c>
      <c r="C25" s="19">
        <f>FV($D$14,B25*12,-$D$12)</f>
        <v>864433.93100094295</v>
      </c>
      <c r="D25" s="19">
        <f>C25*$D$8</f>
        <v>5186.6035860056581</v>
      </c>
      <c r="F25" s="1"/>
    </row>
    <row r="26" spans="1:6" ht="22.95" customHeight="1">
      <c r="A26" s="1"/>
      <c r="B26" s="1"/>
      <c r="C26" s="1"/>
      <c r="D26" s="1"/>
      <c r="F26" s="1"/>
    </row>
    <row r="27" spans="1:6" ht="22.95" customHeight="1">
      <c r="A27" s="1"/>
      <c r="B27" s="1"/>
      <c r="C27" s="1"/>
      <c r="D27" s="1"/>
      <c r="F27" s="1"/>
    </row>
    <row r="28" spans="1:6" ht="27" customHeight="1">
      <c r="A28" s="1"/>
      <c r="B28" s="24" t="s">
        <v>14</v>
      </c>
      <c r="C28" s="25"/>
      <c r="D28" s="25"/>
      <c r="F28" s="1"/>
    </row>
    <row r="29" spans="1:6" ht="22.95" customHeight="1">
      <c r="A29" s="1"/>
      <c r="B29" s="20" t="s">
        <v>15</v>
      </c>
      <c r="C29" s="1"/>
      <c r="D29" s="12" t="s">
        <v>31</v>
      </c>
      <c r="F29" s="1"/>
    </row>
    <row r="30" spans="1:6" ht="22.95" customHeight="1">
      <c r="A30" s="1"/>
      <c r="B30" s="21" t="s">
        <v>16</v>
      </c>
      <c r="C30" s="22"/>
      <c r="D30" s="11">
        <f>aporte</f>
        <v>200</v>
      </c>
      <c r="F30" s="1"/>
    </row>
    <row r="31" spans="1:6" ht="22.95" customHeight="1">
      <c r="A31" s="1"/>
      <c r="B31" s="1"/>
      <c r="C31" s="23"/>
      <c r="D31" s="1"/>
      <c r="E31" s="1"/>
      <c r="F31" s="1"/>
    </row>
    <row r="32" spans="1:6" ht="22.95" customHeight="1">
      <c r="A32" s="1"/>
      <c r="B32" s="3" t="s">
        <v>17</v>
      </c>
      <c r="C32" s="3" t="s">
        <v>18</v>
      </c>
      <c r="D32" s="3" t="s">
        <v>19</v>
      </c>
      <c r="E32" s="1"/>
      <c r="F32" s="1"/>
    </row>
    <row r="33" spans="1:6" ht="22.95" customHeight="1">
      <c r="A33" s="1"/>
      <c r="B33" s="4" t="s">
        <v>20</v>
      </c>
      <c r="C33" s="6">
        <f>VLOOKUP($D$29&amp;"-"&amp;B33,'Tabela de apoio'!$B$4:$E$21,4,FALSE)</f>
        <v>0.32</v>
      </c>
      <c r="D33" s="5">
        <f t="shared" ref="D33" si="0">C33*$D$30</f>
        <v>64</v>
      </c>
      <c r="E33" s="1"/>
      <c r="F33" s="1"/>
    </row>
    <row r="34" spans="1:6" ht="22.95" customHeight="1">
      <c r="A34" s="1"/>
      <c r="B34" s="4" t="s">
        <v>21</v>
      </c>
      <c r="C34" s="6">
        <f>VLOOKUP($D$29&amp;"-"&amp;B34,'Tabela de apoio'!$B$4:$E$21,4,FALSE)</f>
        <v>0.4</v>
      </c>
      <c r="D34" s="5">
        <f>C34*$D$30</f>
        <v>80</v>
      </c>
      <c r="E34" s="1"/>
      <c r="F34" s="1"/>
    </row>
    <row r="35" spans="1:6" ht="22.95" customHeight="1">
      <c r="A35" s="1"/>
      <c r="B35" s="4" t="s">
        <v>22</v>
      </c>
      <c r="C35" s="6">
        <f>VLOOKUP($D$29&amp;"-"&amp;B35,'Tabela de apoio'!$B$4:$E$21,4,FALSE)</f>
        <v>0.08</v>
      </c>
      <c r="D35" s="5">
        <f>C35*$D$30</f>
        <v>16</v>
      </c>
      <c r="E35" s="1"/>
      <c r="F35" s="1"/>
    </row>
    <row r="36" spans="1:6" ht="22.95" customHeight="1">
      <c r="A36" s="1"/>
      <c r="B36" s="4" t="s">
        <v>23</v>
      </c>
      <c r="C36" s="6">
        <f>VLOOKUP($D$29&amp;"-"&amp;B36,'Tabela de apoio'!$B$4:$E$21,4,FALSE)</f>
        <v>0.1</v>
      </c>
      <c r="D36" s="5">
        <f>C36*$D$30</f>
        <v>20</v>
      </c>
      <c r="E36" s="1"/>
      <c r="F36" s="1"/>
    </row>
    <row r="37" spans="1:6" ht="22.95" customHeight="1">
      <c r="A37" s="1"/>
      <c r="B37" s="4" t="s">
        <v>24</v>
      </c>
      <c r="C37" s="6">
        <f>VLOOKUP($D$29&amp;"-"&amp;B37,'Tabela de apoio'!$B$4:$E$21,4,FALSE)</f>
        <v>0.05</v>
      </c>
      <c r="D37" s="5">
        <f>C37*$D$30</f>
        <v>10</v>
      </c>
      <c r="E37" s="1"/>
      <c r="F37" s="1"/>
    </row>
    <row r="38" spans="1:6" ht="22.95" customHeight="1">
      <c r="A38" s="1"/>
      <c r="B38" s="4" t="s">
        <v>25</v>
      </c>
      <c r="C38" s="6">
        <f>VLOOKUP($D$29&amp;"-"&amp;B38,'Tabela de apoio'!$B$4:$E$21,4,FALSE)</f>
        <v>0.05</v>
      </c>
      <c r="D38" s="5">
        <f>C38*$D$30</f>
        <v>10</v>
      </c>
      <c r="E38" s="1"/>
      <c r="F38" s="1"/>
    </row>
    <row r="39" spans="1:6" ht="22.95" customHeight="1">
      <c r="A39" s="1"/>
      <c r="B39" s="3" t="s">
        <v>26</v>
      </c>
      <c r="C39" s="7">
        <f>ROUND(SUM(C33:C38),10)</f>
        <v>1</v>
      </c>
      <c r="D39" s="8">
        <f>SUM(D33:D38)</f>
        <v>200</v>
      </c>
      <c r="E39" s="1"/>
      <c r="F39" s="1"/>
    </row>
    <row r="40" spans="1:6" ht="22.95" customHeight="1">
      <c r="A40" s="1"/>
      <c r="B40" s="1"/>
      <c r="C40" s="1"/>
      <c r="D40" s="1"/>
      <c r="E40" s="23"/>
      <c r="F40" s="1"/>
    </row>
    <row r="41" spans="1:6" ht="22.95" customHeight="1">
      <c r="A41" s="1"/>
      <c r="B41" s="1"/>
      <c r="C41" s="1"/>
      <c r="D41" s="1"/>
      <c r="E41" s="1"/>
      <c r="F41" s="1"/>
    </row>
    <row r="42" spans="1:6" ht="22.95" customHeight="1">
      <c r="A42" s="1"/>
      <c r="B42" s="1"/>
      <c r="C42" s="1"/>
      <c r="D42" s="1"/>
      <c r="E42" s="1"/>
      <c r="F42" s="1"/>
    </row>
  </sheetData>
  <mergeCells count="4">
    <mergeCell ref="B28:D28"/>
    <mergeCell ref="B19:D19"/>
    <mergeCell ref="B11:D11"/>
    <mergeCell ref="B6:D6"/>
  </mergeCells>
  <dataValidations count="1">
    <dataValidation type="list" sqref="D29" xr:uid="{00000000-0002-0000-0000-000000000000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64A2"/>
  </sheetPr>
  <dimension ref="A1:F40"/>
  <sheetViews>
    <sheetView topLeftCell="A7" workbookViewId="0"/>
  </sheetViews>
  <sheetFormatPr defaultRowHeight="13.8"/>
  <cols>
    <col min="1" max="1" width="4" customWidth="1"/>
    <col min="2" max="2" width="40" customWidth="1"/>
    <col min="3" max="3" width="18" customWidth="1"/>
    <col min="4" max="4" width="25" customWidth="1"/>
    <col min="5" max="5" width="14" customWidth="1"/>
    <col min="6" max="6" width="4" customWidth="1"/>
  </cols>
  <sheetData>
    <row r="1" spans="1:6" ht="18.3" customHeight="1">
      <c r="A1" s="1"/>
      <c r="B1" s="1"/>
      <c r="C1" s="1"/>
      <c r="D1" s="1"/>
      <c r="E1" s="1"/>
      <c r="F1" s="1"/>
    </row>
    <row r="2" spans="1:6" ht="22.35" customHeight="1">
      <c r="A2" s="1"/>
      <c r="B2" s="28" t="s">
        <v>27</v>
      </c>
      <c r="C2" s="28"/>
      <c r="D2" s="28"/>
      <c r="E2" s="28"/>
      <c r="F2" s="1"/>
    </row>
    <row r="3" spans="1:6" ht="18.3" customHeight="1">
      <c r="A3" s="1"/>
      <c r="B3" s="3" t="s">
        <v>28</v>
      </c>
      <c r="C3" s="3" t="s">
        <v>15</v>
      </c>
      <c r="D3" s="3" t="s">
        <v>17</v>
      </c>
      <c r="E3" s="3" t="s">
        <v>29</v>
      </c>
      <c r="F3" s="1"/>
    </row>
    <row r="4" spans="1:6" ht="18.3" customHeight="1">
      <c r="A4" s="1"/>
      <c r="B4" s="4" t="str">
        <f t="shared" ref="B4" si="0">C4&amp;"-"&amp;D4</f>
        <v>Conservador-PAPEL</v>
      </c>
      <c r="C4" s="4" t="s">
        <v>30</v>
      </c>
      <c r="D4" s="4" t="s">
        <v>20</v>
      </c>
      <c r="E4" s="6">
        <v>0.3</v>
      </c>
      <c r="F4" s="1"/>
    </row>
    <row r="5" spans="1:6" ht="18.3" customHeight="1">
      <c r="A5" s="1"/>
      <c r="B5" s="4" t="str">
        <f t="shared" ref="B5:B21" si="1">C5&amp;"-"&amp;D5</f>
        <v>Conservador-TIJOLO</v>
      </c>
      <c r="C5" s="4" t="s">
        <v>30</v>
      </c>
      <c r="D5" s="4" t="s">
        <v>21</v>
      </c>
      <c r="E5" s="6">
        <v>0.5</v>
      </c>
      <c r="F5" s="1"/>
    </row>
    <row r="6" spans="1:6" ht="18.3" customHeight="1">
      <c r="A6" s="1"/>
      <c r="B6" s="4" t="str">
        <f t="shared" si="1"/>
        <v>Conservador-HÍBRIDOS</v>
      </c>
      <c r="C6" s="4" t="s">
        <v>30</v>
      </c>
      <c r="D6" s="4" t="s">
        <v>22</v>
      </c>
      <c r="E6" s="6">
        <v>0.1</v>
      </c>
      <c r="F6" s="1"/>
    </row>
    <row r="7" spans="1:6" ht="18.3" customHeight="1">
      <c r="A7" s="1"/>
      <c r="B7" s="4" t="str">
        <f t="shared" si="1"/>
        <v>Conservador-FOFs</v>
      </c>
      <c r="C7" s="4" t="s">
        <v>30</v>
      </c>
      <c r="D7" s="4" t="s">
        <v>23</v>
      </c>
      <c r="E7" s="6">
        <v>0.1</v>
      </c>
      <c r="F7" s="1"/>
    </row>
    <row r="8" spans="1:6" ht="18.3" customHeight="1">
      <c r="A8" s="1"/>
      <c r="B8" s="4" t="str">
        <f t="shared" si="1"/>
        <v>Conservador-DESENVOLVIMENTO</v>
      </c>
      <c r="C8" s="4" t="s">
        <v>30</v>
      </c>
      <c r="D8" s="4" t="s">
        <v>24</v>
      </c>
      <c r="E8" s="6">
        <v>0</v>
      </c>
      <c r="F8" s="1"/>
    </row>
    <row r="9" spans="1:6" ht="18.3" customHeight="1">
      <c r="A9" s="1"/>
      <c r="B9" s="4" t="str">
        <f t="shared" si="1"/>
        <v>Conservador-HOTELARIAS</v>
      </c>
      <c r="C9" s="4" t="s">
        <v>30</v>
      </c>
      <c r="D9" s="4" t="s">
        <v>25</v>
      </c>
      <c r="E9" s="6">
        <v>0</v>
      </c>
      <c r="F9" s="1"/>
    </row>
    <row r="10" spans="1:6" ht="18.3" customHeight="1">
      <c r="A10" s="1"/>
      <c r="B10" s="4" t="str">
        <f t="shared" si="1"/>
        <v>Moderado-PAPEL</v>
      </c>
      <c r="C10" s="4" t="s">
        <v>31</v>
      </c>
      <c r="D10" s="4" t="s">
        <v>20</v>
      </c>
      <c r="E10" s="6">
        <v>0.32</v>
      </c>
      <c r="F10" s="1"/>
    </row>
    <row r="11" spans="1:6" ht="18.3" customHeight="1">
      <c r="A11" s="1"/>
      <c r="B11" s="4" t="str">
        <f t="shared" si="1"/>
        <v>Moderado-TIJOLO</v>
      </c>
      <c r="C11" s="4" t="s">
        <v>31</v>
      </c>
      <c r="D11" s="4" t="s">
        <v>21</v>
      </c>
      <c r="E11" s="6">
        <v>0.4</v>
      </c>
      <c r="F11" s="1"/>
    </row>
    <row r="12" spans="1:6" ht="18.3" customHeight="1">
      <c r="A12" s="1"/>
      <c r="B12" s="4" t="str">
        <f t="shared" si="1"/>
        <v>Moderado-HÍBRIDOS</v>
      </c>
      <c r="C12" s="4" t="s">
        <v>31</v>
      </c>
      <c r="D12" s="4" t="s">
        <v>22</v>
      </c>
      <c r="E12" s="6">
        <v>0.08</v>
      </c>
      <c r="F12" s="1"/>
    </row>
    <row r="13" spans="1:6" ht="18.3" customHeight="1">
      <c r="A13" s="1"/>
      <c r="B13" s="4" t="str">
        <f t="shared" si="1"/>
        <v>Moderado-FOFs</v>
      </c>
      <c r="C13" s="4" t="s">
        <v>31</v>
      </c>
      <c r="D13" s="4" t="s">
        <v>23</v>
      </c>
      <c r="E13" s="6">
        <v>0.1</v>
      </c>
      <c r="F13" s="1"/>
    </row>
    <row r="14" spans="1:6" ht="18.3" customHeight="1">
      <c r="A14" s="1"/>
      <c r="B14" s="4" t="str">
        <f t="shared" si="1"/>
        <v>Moderado-DESENVOLVIMENTO</v>
      </c>
      <c r="C14" s="4" t="s">
        <v>31</v>
      </c>
      <c r="D14" s="4" t="s">
        <v>24</v>
      </c>
      <c r="E14" s="6">
        <v>0.05</v>
      </c>
      <c r="F14" s="1"/>
    </row>
    <row r="15" spans="1:6" ht="18.3" customHeight="1">
      <c r="A15" s="1"/>
      <c r="B15" s="4" t="str">
        <f t="shared" si="1"/>
        <v>Moderado-HOTELARIAS</v>
      </c>
      <c r="C15" s="4" t="s">
        <v>31</v>
      </c>
      <c r="D15" s="4" t="s">
        <v>25</v>
      </c>
      <c r="E15" s="6">
        <v>0.05</v>
      </c>
      <c r="F15" s="1"/>
    </row>
    <row r="16" spans="1:6" ht="18.3" customHeight="1">
      <c r="A16" s="1"/>
      <c r="B16" s="4" t="str">
        <f t="shared" si="1"/>
        <v>Agressivo-PAPEL</v>
      </c>
      <c r="C16" s="4" t="s">
        <v>32</v>
      </c>
      <c r="D16" s="4" t="s">
        <v>20</v>
      </c>
      <c r="E16" s="6">
        <v>0.5</v>
      </c>
      <c r="F16" s="1"/>
    </row>
    <row r="17" spans="1:6" ht="18.3" customHeight="1">
      <c r="A17" s="1"/>
      <c r="B17" s="4" t="str">
        <f t="shared" si="1"/>
        <v>Agressivo-TIJOLO</v>
      </c>
      <c r="C17" s="4" t="s">
        <v>32</v>
      </c>
      <c r="D17" s="4" t="s">
        <v>21</v>
      </c>
      <c r="E17" s="6">
        <v>0.1</v>
      </c>
      <c r="F17" s="1"/>
    </row>
    <row r="18" spans="1:6" ht="18.3" customHeight="1">
      <c r="A18" s="1"/>
      <c r="B18" s="4" t="str">
        <f t="shared" si="1"/>
        <v>Agressivo-HÍBRIDOS</v>
      </c>
      <c r="C18" s="4" t="s">
        <v>32</v>
      </c>
      <c r="D18" s="4" t="s">
        <v>22</v>
      </c>
      <c r="E18" s="6">
        <v>0.05</v>
      </c>
      <c r="F18" s="1"/>
    </row>
    <row r="19" spans="1:6" ht="18.3" customHeight="1">
      <c r="A19" s="1"/>
      <c r="B19" s="4" t="str">
        <f t="shared" si="1"/>
        <v>Agressivo-FOFs</v>
      </c>
      <c r="C19" s="4" t="s">
        <v>32</v>
      </c>
      <c r="D19" s="4" t="s">
        <v>23</v>
      </c>
      <c r="E19" s="6">
        <v>0.05</v>
      </c>
      <c r="F19" s="1"/>
    </row>
    <row r="20" spans="1:6" ht="18.3" customHeight="1">
      <c r="A20" s="1"/>
      <c r="B20" s="4" t="str">
        <f t="shared" si="1"/>
        <v>Agressivo-DESENVOLVIMENTO</v>
      </c>
      <c r="C20" s="4" t="s">
        <v>32</v>
      </c>
      <c r="D20" s="4" t="s">
        <v>24</v>
      </c>
      <c r="E20" s="6">
        <v>0.2</v>
      </c>
      <c r="F20" s="1"/>
    </row>
    <row r="21" spans="1:6" ht="18.3" customHeight="1">
      <c r="A21" s="1"/>
      <c r="B21" s="4" t="str">
        <f t="shared" si="1"/>
        <v>Agressivo-HOTELARIAS</v>
      </c>
      <c r="C21" s="4" t="s">
        <v>32</v>
      </c>
      <c r="D21" s="4" t="s">
        <v>25</v>
      </c>
      <c r="E21" s="6">
        <v>0.1</v>
      </c>
      <c r="F21" s="1"/>
    </row>
    <row r="22" spans="1:6" ht="18.3" customHeight="1">
      <c r="A22" s="1"/>
      <c r="B22" s="1"/>
      <c r="C22" s="1"/>
      <c r="D22" s="1"/>
      <c r="E22" s="1"/>
      <c r="F22" s="1"/>
    </row>
    <row r="23" spans="1:6" ht="18.3" customHeight="1">
      <c r="A23" s="1"/>
      <c r="B23" s="1"/>
      <c r="C23" s="1"/>
      <c r="D23" s="1"/>
      <c r="E23" s="1"/>
      <c r="F23" s="1"/>
    </row>
    <row r="24" spans="1:6" ht="18.3" customHeight="1">
      <c r="A24" s="1"/>
      <c r="B24" s="1"/>
      <c r="C24" s="1"/>
      <c r="D24" s="1"/>
      <c r="E24" s="1"/>
      <c r="F24" s="1"/>
    </row>
    <row r="25" spans="1:6" ht="18.3" customHeight="1">
      <c r="A25" s="1"/>
      <c r="B25" s="1"/>
      <c r="C25" s="1"/>
      <c r="D25" s="1"/>
      <c r="E25" s="1"/>
      <c r="F25" s="1"/>
    </row>
    <row r="26" spans="1:6" ht="18.3" customHeight="1">
      <c r="A26" s="1"/>
      <c r="B26" s="1"/>
      <c r="C26" s="1"/>
      <c r="D26" s="1"/>
      <c r="E26" s="1"/>
      <c r="F26" s="1"/>
    </row>
    <row r="27" spans="1:6" ht="18.3" customHeight="1">
      <c r="A27" s="1"/>
      <c r="B27" s="1"/>
      <c r="C27" s="1"/>
      <c r="D27" s="1"/>
      <c r="E27" s="1"/>
      <c r="F27" s="1"/>
    </row>
    <row r="28" spans="1:6" ht="18.3" customHeight="1">
      <c r="A28" s="1"/>
      <c r="B28" s="1"/>
      <c r="C28" s="1"/>
      <c r="D28" s="1"/>
      <c r="E28" s="1"/>
      <c r="F28" s="1"/>
    </row>
    <row r="29" spans="1:6" ht="18.3" customHeight="1">
      <c r="A29" s="1"/>
      <c r="B29" s="1"/>
      <c r="C29" s="1"/>
      <c r="D29" s="1"/>
      <c r="E29" s="1"/>
      <c r="F29" s="1"/>
    </row>
    <row r="30" spans="1:6" ht="18.3" customHeight="1">
      <c r="A30" s="1"/>
      <c r="B30" s="1"/>
      <c r="C30" s="1"/>
      <c r="D30" s="1"/>
      <c r="E30" s="1"/>
      <c r="F30" s="1"/>
    </row>
    <row r="31" spans="1:6" ht="18.3" customHeight="1">
      <c r="A31" s="1"/>
      <c r="B31" s="1"/>
      <c r="C31" s="1"/>
      <c r="D31" s="1"/>
      <c r="E31" s="1"/>
      <c r="F31" s="1"/>
    </row>
    <row r="32" spans="1:6" ht="18.3" customHeight="1">
      <c r="A32" s="1"/>
      <c r="B32" s="1"/>
      <c r="C32" s="1"/>
      <c r="D32" s="1"/>
      <c r="E32" s="1"/>
      <c r="F32" s="1"/>
    </row>
    <row r="33" spans="1:6" ht="18.3" customHeight="1">
      <c r="A33" s="1"/>
      <c r="B33" s="1"/>
      <c r="C33" s="1"/>
      <c r="D33" s="1"/>
      <c r="E33" s="1"/>
      <c r="F33" s="1"/>
    </row>
    <row r="34" spans="1:6" ht="18.3" customHeight="1">
      <c r="A34" s="1"/>
      <c r="B34" s="1"/>
      <c r="C34" s="1"/>
      <c r="D34" s="1"/>
      <c r="E34" s="1"/>
      <c r="F34" s="1"/>
    </row>
    <row r="35" spans="1:6" ht="18.3" customHeight="1">
      <c r="A35" s="1"/>
      <c r="B35" s="1"/>
      <c r="C35" s="1"/>
      <c r="D35" s="1"/>
      <c r="E35" s="1"/>
      <c r="F35" s="1"/>
    </row>
    <row r="36" spans="1:6" ht="18.3" customHeight="1">
      <c r="A36" s="1"/>
      <c r="B36" s="1"/>
      <c r="C36" s="1"/>
      <c r="D36" s="1"/>
      <c r="E36" s="1"/>
      <c r="F36" s="1"/>
    </row>
    <row r="37" spans="1:6" ht="18.3" customHeight="1">
      <c r="A37" s="1"/>
      <c r="B37" s="1"/>
      <c r="C37" s="1"/>
      <c r="D37" s="1"/>
      <c r="E37" s="1"/>
      <c r="F37" s="1"/>
    </row>
    <row r="38" spans="1:6" ht="18.3" customHeight="1">
      <c r="A38" s="1"/>
      <c r="B38" s="1"/>
      <c r="C38" s="1"/>
      <c r="D38" s="1"/>
      <c r="E38" s="1"/>
      <c r="F38" s="1"/>
    </row>
    <row r="39" spans="1:6" ht="18.3" customHeight="1">
      <c r="A39" s="1"/>
      <c r="B39" s="1"/>
      <c r="C39" s="1"/>
      <c r="D39" s="1"/>
      <c r="E39" s="1"/>
      <c r="F39" s="1"/>
    </row>
    <row r="40" spans="1:6" ht="18.3" customHeight="1">
      <c r="A40" s="1"/>
      <c r="B40" s="1"/>
      <c r="C40" s="1"/>
      <c r="D40" s="1"/>
      <c r="E40" s="1"/>
      <c r="F40" s="1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Investimentos</vt:lpstr>
      <vt:lpstr>Tabela de 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Vargas</cp:lastModifiedBy>
  <dcterms:created xsi:type="dcterms:W3CDTF">2026-10-14T03:12:41Z</dcterms:created>
  <dcterms:modified xsi:type="dcterms:W3CDTF">2026-10-14T03:13:15Z</dcterms:modified>
</cp:coreProperties>
</file>